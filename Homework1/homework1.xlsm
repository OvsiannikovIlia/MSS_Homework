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0" yWindow="105" windowWidth="15120" windowHeight="8010" activeTab="2"/>
  </bookViews>
  <sheets>
    <sheet name="ГУ 1 рода" sheetId="5" r:id="rId1"/>
    <sheet name="ГУ 2 рода" sheetId="1" r:id="rId2"/>
    <sheet name="ГУ 3 рода" sheetId="6" r:id="rId3"/>
  </sheets>
  <calcPr calcId="162913"/>
</workbook>
</file>

<file path=xl/calcChain.xml><?xml version="1.0" encoding="utf-8"?>
<calcChain xmlns="http://schemas.openxmlformats.org/spreadsheetml/2006/main">
  <c r="G18" i="6" l="1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F18" i="6"/>
  <c r="AH16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F17" i="6"/>
  <c r="P16" i="6"/>
  <c r="L16" i="6"/>
  <c r="H16" i="6"/>
  <c r="F16" i="6"/>
  <c r="AJ13" i="6"/>
  <c r="C5" i="6"/>
  <c r="AG15" i="6" s="1"/>
  <c r="C4" i="6"/>
  <c r="AI16" i="6" s="1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F13" i="5"/>
  <c r="R15" i="6" l="1"/>
  <c r="V15" i="6"/>
  <c r="AH15" i="6"/>
  <c r="X16" i="6"/>
  <c r="AB16" i="6"/>
  <c r="G12" i="6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K15" i="6"/>
  <c r="O15" i="6"/>
  <c r="S15" i="6"/>
  <c r="W15" i="6"/>
  <c r="AA15" i="6"/>
  <c r="AE15" i="6"/>
  <c r="AI15" i="6"/>
  <c r="I16" i="6"/>
  <c r="M16" i="6"/>
  <c r="Q16" i="6"/>
  <c r="U16" i="6"/>
  <c r="Y16" i="6"/>
  <c r="AC16" i="6"/>
  <c r="AG16" i="6"/>
  <c r="J15" i="6"/>
  <c r="N15" i="6"/>
  <c r="Z15" i="6"/>
  <c r="AD15" i="6"/>
  <c r="T16" i="6"/>
  <c r="AF16" i="6"/>
  <c r="H15" i="6"/>
  <c r="L15" i="6"/>
  <c r="P15" i="6"/>
  <c r="T15" i="6"/>
  <c r="X15" i="6"/>
  <c r="AB15" i="6"/>
  <c r="AF15" i="6"/>
  <c r="J16" i="6"/>
  <c r="N16" i="6"/>
  <c r="R16" i="6"/>
  <c r="V16" i="6"/>
  <c r="Z16" i="6"/>
  <c r="AD16" i="6"/>
  <c r="F13" i="6"/>
  <c r="G16" i="6" s="1"/>
  <c r="I15" i="6"/>
  <c r="M15" i="6"/>
  <c r="Q15" i="6"/>
  <c r="U15" i="6"/>
  <c r="Y15" i="6"/>
  <c r="AC15" i="6"/>
  <c r="K16" i="6"/>
  <c r="O16" i="6"/>
  <c r="S16" i="6"/>
  <c r="W16" i="6"/>
  <c r="AA16" i="6"/>
  <c r="AE16" i="6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5"/>
  <c r="C4" i="5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F16" i="1"/>
  <c r="G15" i="6" l="1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5"/>
  <c r="AJ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5" l="1"/>
  <c r="C5" i="1"/>
  <c r="G15" i="1"/>
</calcChain>
</file>

<file path=xl/sharedStrings.xml><?xml version="1.0" encoding="utf-8"?>
<sst xmlns="http://schemas.openxmlformats.org/spreadsheetml/2006/main" count="41" uniqueCount="16">
  <si>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</si>
  <si>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</si>
  <si>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</si>
  <si>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</si>
  <si>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</si>
  <si>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</si>
  <si>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</si>
  <si>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</si>
  <si>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</si>
  <si>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</si>
  <si>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</si>
  <si>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</si>
  <si>
    <t>T_start</t>
  </si>
  <si>
    <t>dt/dn</t>
  </si>
  <si>
    <t>T_gas</t>
  </si>
  <si>
    <t>alfa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</si>
</sst>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 formatCode="0.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EB-496C-8A3A-EC5CA1D0D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38336"/>
        <c:axId val="117439872"/>
      </c:scatterChart>
      <c:valAx>
        <c:axId val="11743833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17439872"/>
        <c:crosses val="autoZero"/>
        <c:crossBetween val="midCat"/>
      </c:valAx>
      <c:valAx>
        <c:axId val="117439872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17438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 formatCode="0.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1-4ED9-A1F7-FDCB8665A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38336"/>
        <c:axId val="117439872"/>
      </c:scatterChart>
      <c:valAx>
        <c:axId val="11743833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17439872"/>
        <c:crosses val="autoZero"/>
        <c:crossBetween val="midCat"/>
      </c:valAx>
      <c:valAx>
        <c:axId val="117439872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17438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 formatCode="0.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80-4F5E-983F-B00D6DBC6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38336"/>
        <c:axId val="117439872"/>
      </c:scatterChart>
      <c:valAx>
        <c:axId val="11743833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17439872"/>
        <c:crosses val="autoZero"/>
        <c:crossBetween val="midCat"/>
      </c:valAx>
      <c:valAx>
        <c:axId val="117439872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17438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89647</xdr:colOff>
      <xdr:row>20</xdr:row>
      <xdr:rowOff>89647</xdr:rowOff>
    </xdr:from>
    <xdr:to>
      <xdr:col>16</xdr:col>
      <xdr:colOff>313764</xdr:colOff>
      <xdr:row>47</xdr:row>
      <xdr:rowOff>168088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136710</xdr:colOff>
      <xdr:row>20</xdr:row>
      <xdr:rowOff>108697</xdr:rowOff>
    </xdr:from>
    <xdr:ext cx="513231" cy="541244"/>
    <xdr:sp macro="" textlink="">
      <xdr:nvSpPr>
        <xdr:cNvPr id="3" name="TextBox 2"/>
        <xdr:cNvSpPr txBox="1"/>
      </xdr:nvSpPr>
      <xdr:spPr>
        <a:xfrm>
          <a:off x="3718110" y="3918697"/>
          <a:ext cx="513231" cy="54124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T,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[C]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15</xdr:col>
      <xdr:colOff>125506</xdr:colOff>
      <xdr:row>46</xdr:row>
      <xdr:rowOff>0</xdr:rowOff>
    </xdr:from>
    <xdr:ext cx="558054" cy="347382"/>
    <xdr:sp macro="" textlink="">
      <xdr:nvSpPr>
        <xdr:cNvPr id="4" name="TextBox 3"/>
        <xdr:cNvSpPr txBox="1"/>
      </xdr:nvSpPr>
      <xdr:spPr>
        <a:xfrm>
          <a:off x="7650256" y="8763000"/>
          <a:ext cx="558054" cy="34738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L,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[m]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89647</xdr:colOff>
      <xdr:row>20</xdr:row>
      <xdr:rowOff>89647</xdr:rowOff>
    </xdr:from>
    <xdr:to>
      <xdr:col>16</xdr:col>
      <xdr:colOff>313764</xdr:colOff>
      <xdr:row>47</xdr:row>
      <xdr:rowOff>168088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136710</xdr:colOff>
      <xdr:row>20</xdr:row>
      <xdr:rowOff>108697</xdr:rowOff>
    </xdr:from>
    <xdr:ext cx="513231" cy="541244"/>
    <xdr:sp macro="" textlink="">
      <xdr:nvSpPr>
        <xdr:cNvPr id="2" name="TextBox 1"/>
        <xdr:cNvSpPr txBox="1"/>
      </xdr:nvSpPr>
      <xdr:spPr>
        <a:xfrm>
          <a:off x="3700181" y="3918697"/>
          <a:ext cx="513231" cy="54124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T,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[C]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15</xdr:col>
      <xdr:colOff>125506</xdr:colOff>
      <xdr:row>46</xdr:row>
      <xdr:rowOff>0</xdr:rowOff>
    </xdr:from>
    <xdr:ext cx="558054" cy="347382"/>
    <xdr:sp macro="" textlink="">
      <xdr:nvSpPr>
        <xdr:cNvPr id="5" name="TextBox 4"/>
        <xdr:cNvSpPr txBox="1"/>
      </xdr:nvSpPr>
      <xdr:spPr>
        <a:xfrm>
          <a:off x="7622241" y="8763000"/>
          <a:ext cx="558054" cy="34738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L,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[m]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67236</xdr:colOff>
      <xdr:row>20</xdr:row>
      <xdr:rowOff>22411</xdr:rowOff>
    </xdr:from>
    <xdr:to>
      <xdr:col>16</xdr:col>
      <xdr:colOff>291353</xdr:colOff>
      <xdr:row>47</xdr:row>
      <xdr:rowOff>100852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136710</xdr:colOff>
      <xdr:row>20</xdr:row>
      <xdr:rowOff>108697</xdr:rowOff>
    </xdr:from>
    <xdr:ext cx="513231" cy="541244"/>
    <xdr:sp macro="" textlink="">
      <xdr:nvSpPr>
        <xdr:cNvPr id="3" name="TextBox 2"/>
        <xdr:cNvSpPr txBox="1"/>
      </xdr:nvSpPr>
      <xdr:spPr>
        <a:xfrm>
          <a:off x="3794310" y="3918697"/>
          <a:ext cx="513231" cy="54124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T,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[C]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15</xdr:col>
      <xdr:colOff>125506</xdr:colOff>
      <xdr:row>46</xdr:row>
      <xdr:rowOff>0</xdr:rowOff>
    </xdr:from>
    <xdr:ext cx="558054" cy="347382"/>
    <xdr:sp macro="" textlink="">
      <xdr:nvSpPr>
        <xdr:cNvPr id="4" name="TextBox 3"/>
        <xdr:cNvSpPr txBox="1"/>
      </xdr:nvSpPr>
      <xdr:spPr>
        <a:xfrm>
          <a:off x="7726456" y="8763000"/>
          <a:ext cx="558054" cy="34738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sz="1600" b="1" i="1">
              <a:latin typeface="Times New Roman" panose="02020603050405020304" pitchFamily="18" charset="0"/>
              <a:cs typeface="Times New Roman" panose="02020603050405020304" pitchFamily="18" charset="0"/>
            </a:rPr>
            <a:t>L,</a:t>
          </a:r>
          <a:r>
            <a:rPr lang="en-US" sz="16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[m]</a:t>
          </a:r>
          <a:endParaRPr lang="ru-RU" sz="16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BL15"/>
  <sheetViews>
    <sheetView zoomScale="85" zoomScaleNormal="85" workbookViewId="0">
      <selection activeCell="W25" sqref="W25"/>
    </sheetView>
  </sheetViews>
  <sheetFormatPr defaultRowHeight="15" x14ac:dyDescent="0.25"/>
  <cols>
    <col min="3" max="3" width="10.5703125" bestFit="1" customWidth="1"/>
    <col min="6" max="6" width="8.7109375" bestFit="1" customWidth="1"/>
    <col min="7" max="14" width="6.5703125" bestFit="1" customWidth="1"/>
    <col min="15" max="16" width="6.5703125" customWidth="1"/>
    <col min="17" max="36" width="6.5703125" bestFit="1" customWidth="1"/>
  </cols>
  <sheetData>
    <row r="3" spans="2:64" x14ac:dyDescent="0.25">
      <c r="B3" s="2" t="s">
        <v>0</v>
      </c>
      <c r="C3" s="2">
        <v>0.1</v>
      </c>
    </row>
    <row r="4" spans="2:64" x14ac:dyDescent="0.25">
      <c r="B4" s="2" t="s">
        <v>1</v>
      </c>
      <c r="C4" s="4">
        <f>C3/30</f>
        <v>3.3333333333333335E-3</v>
      </c>
    </row>
    <row r="5" spans="2:64" x14ac:dyDescent="0.25">
      <c r="B5" s="2" t="s">
        <v>2</v>
      </c>
      <c r="C5" s="4">
        <f>(C9*C8*C4^2)/(2*C10)</f>
        <v>0.4333333333333334</v>
      </c>
    </row>
    <row r="6" spans="2:64" x14ac:dyDescent="0.25">
      <c r="B6" s="2" t="s">
        <v>3</v>
      </c>
      <c r="C6" s="2">
        <v>500</v>
      </c>
      <c r="D6">
        <v>500.06666666666672</v>
      </c>
    </row>
    <row r="8" spans="2:64" x14ac:dyDescent="0.25">
      <c r="B8" s="2" t="s">
        <v>4</v>
      </c>
      <c r="C8" s="2">
        <v>460</v>
      </c>
    </row>
    <row r="9" spans="2:64" x14ac:dyDescent="0.25">
      <c r="B9" s="2" t="s">
        <v>5</v>
      </c>
      <c r="C9" s="2">
        <v>7800</v>
      </c>
    </row>
    <row r="10" spans="2:64" x14ac:dyDescent="0.25">
      <c r="B10" s="2" t="s">
        <v>6</v>
      </c>
      <c r="C10" s="2">
        <v>46</v>
      </c>
    </row>
    <row r="11" spans="2:64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2:64" x14ac:dyDescent="0.25">
      <c r="B12" s="2" t="s">
        <v>12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64" x14ac:dyDescent="0.25">
      <c r="B13" s="2" t="s">
        <v>8</v>
      </c>
      <c r="C13" s="2">
        <v>100</v>
      </c>
      <c r="E13" t="s">
        <v>7</v>
      </c>
      <c r="F13" s="5">
        <f>C12</f>
        <v>300</v>
      </c>
      <c r="G13" s="1">
        <v>293.28624346693624</v>
      </c>
      <c r="H13" s="1">
        <v>286.57351596044163</v>
      </c>
      <c r="I13" s="1">
        <v>279.86078845394701</v>
      </c>
      <c r="J13" s="1">
        <v>273.15110305375981</v>
      </c>
      <c r="K13" s="1">
        <v>266.44141765357256</v>
      </c>
      <c r="L13" s="1">
        <v>259.73665448478408</v>
      </c>
      <c r="M13" s="1">
        <v>253.03189131599561</v>
      </c>
      <c r="N13" s="1">
        <v>246.33371537856041</v>
      </c>
      <c r="O13" s="1">
        <v>239.63553944112522</v>
      </c>
      <c r="P13" s="1">
        <v>232.9453278413726</v>
      </c>
      <c r="Q13" s="1">
        <v>226.25511624161999</v>
      </c>
      <c r="R13" s="1">
        <v>219.57389800609968</v>
      </c>
      <c r="S13" s="1">
        <v>212.89267977057938</v>
      </c>
      <c r="T13" s="1">
        <v>206.22109087266466</v>
      </c>
      <c r="U13" s="1">
        <v>199.54950197474994</v>
      </c>
      <c r="V13" s="1">
        <v>192.88775753955161</v>
      </c>
      <c r="W13" s="1">
        <v>186.22601310435331</v>
      </c>
      <c r="X13" s="1">
        <v>179.57389800672252</v>
      </c>
      <c r="Y13" s="1">
        <v>172.92178290909169</v>
      </c>
      <c r="Z13" s="1">
        <v>166.2786611756236</v>
      </c>
      <c r="AA13" s="1">
        <v>159.6355394421555</v>
      </c>
      <c r="AB13" s="1">
        <v>153.00038204628092</v>
      </c>
      <c r="AC13" s="1">
        <v>146.36522465040633</v>
      </c>
      <c r="AD13" s="1">
        <v>139.73665448579186</v>
      </c>
      <c r="AE13" s="1">
        <v>133.10808432117742</v>
      </c>
      <c r="AF13" s="1">
        <v>126.48443638788059</v>
      </c>
      <c r="AG13" s="1">
        <v>119.86078845458377</v>
      </c>
      <c r="AH13" s="1">
        <v>113.24018262753927</v>
      </c>
      <c r="AI13" s="1">
        <v>106.61957680049478</v>
      </c>
      <c r="AJ13" s="1">
        <f>C13</f>
        <v>100</v>
      </c>
    </row>
    <row r="15" spans="2:64" x14ac:dyDescent="0.25">
      <c r="E15" t="s">
        <v>9</v>
      </c>
      <c r="G15">
        <f>G13+(($C$10*$C$5)/($C$9*$C$8))*((H13-2*G13+F13)/($C$4^2))</f>
        <v>293.28675798022084</v>
      </c>
      <c r="H15">
        <f t="shared" ref="H15:AI15" si="1">H13+(($C$10*$C$5)/($C$9*$C$8))*((I13-2*H13+G13)/($C$4^2))</f>
        <v>286.57351596044163</v>
      </c>
      <c r="I15">
        <f t="shared" si="1"/>
        <v>279.86230950710069</v>
      </c>
      <c r="J15">
        <f t="shared" si="1"/>
        <v>273.15110305375981</v>
      </c>
      <c r="K15">
        <f t="shared" si="1"/>
        <v>266.44387876927192</v>
      </c>
      <c r="L15">
        <f t="shared" si="1"/>
        <v>259.73665448478408</v>
      </c>
      <c r="M15">
        <f t="shared" si="1"/>
        <v>253.03518493167226</v>
      </c>
      <c r="N15">
        <f t="shared" si="1"/>
        <v>246.33371537856041</v>
      </c>
      <c r="O15">
        <f t="shared" si="1"/>
        <v>239.63952160996649</v>
      </c>
      <c r="P15">
        <f t="shared" si="1"/>
        <v>232.9453278413726</v>
      </c>
      <c r="Q15">
        <f t="shared" si="1"/>
        <v>226.25961292373614</v>
      </c>
      <c r="R15">
        <f t="shared" si="1"/>
        <v>219.57389800609968</v>
      </c>
      <c r="S15">
        <f t="shared" si="1"/>
        <v>212.89749443938217</v>
      </c>
      <c r="T15">
        <f t="shared" si="1"/>
        <v>206.22109087266466</v>
      </c>
      <c r="U15">
        <f t="shared" si="1"/>
        <v>199.55442420610814</v>
      </c>
      <c r="V15">
        <f t="shared" si="1"/>
        <v>192.88775753955161</v>
      </c>
      <c r="W15">
        <f t="shared" si="1"/>
        <v>186.23082777313707</v>
      </c>
      <c r="X15">
        <f t="shared" si="1"/>
        <v>179.57389800672252</v>
      </c>
      <c r="Y15">
        <f t="shared" si="1"/>
        <v>172.92627959117306</v>
      </c>
      <c r="Z15">
        <f t="shared" si="1"/>
        <v>166.2786611756236</v>
      </c>
      <c r="AA15">
        <f t="shared" si="1"/>
        <v>159.63952161095227</v>
      </c>
      <c r="AB15">
        <f t="shared" si="1"/>
        <v>153.00038204628092</v>
      </c>
      <c r="AC15">
        <f t="shared" si="1"/>
        <v>146.3685182660364</v>
      </c>
      <c r="AD15">
        <f t="shared" si="1"/>
        <v>139.73665448579186</v>
      </c>
      <c r="AE15">
        <f t="shared" si="1"/>
        <v>133.11054543683622</v>
      </c>
      <c r="AF15">
        <f t="shared" si="1"/>
        <v>126.48443638788059</v>
      </c>
      <c r="AG15">
        <f t="shared" si="1"/>
        <v>119.86230950770994</v>
      </c>
      <c r="AH15">
        <f t="shared" si="1"/>
        <v>113.24018262753927</v>
      </c>
      <c r="AI15">
        <f t="shared" si="1"/>
        <v>106.62009131376963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BL16"/>
  <sheetViews>
    <sheetView topLeftCell="A6" zoomScale="85" zoomScaleNormal="85" workbookViewId="0">
      <selection activeCell="S22" sqref="S22"/>
    </sheetView>
  </sheetViews>
  <sheetFormatPr defaultRowHeight="15" x14ac:dyDescent="0.25"/>
  <cols>
    <col min="3" max="3" width="10.5703125" bestFit="1" customWidth="1"/>
    <col min="6" max="6" width="7.7109375" bestFit="1" customWidth="1"/>
    <col min="7" max="14" width="6.5703125" bestFit="1" customWidth="1"/>
    <col min="15" max="16" width="6.5703125" customWidth="1"/>
    <col min="17" max="36" width="6.5703125" bestFit="1" customWidth="1"/>
  </cols>
  <sheetData>
    <row r="3" spans="2:64" x14ac:dyDescent="0.25">
      <c r="B3" s="2" t="s">
        <v>0</v>
      </c>
      <c r="C3" s="2">
        <v>0.1</v>
      </c>
    </row>
    <row r="4" spans="2:64" x14ac:dyDescent="0.25">
      <c r="B4" s="2" t="s">
        <v>1</v>
      </c>
      <c r="C4" s="4">
        <f>C3/30</f>
        <v>3.3333333333333335E-3</v>
      </c>
    </row>
    <row r="5" spans="2:64" x14ac:dyDescent="0.25">
      <c r="B5" s="2" t="s">
        <v>2</v>
      </c>
      <c r="C5" s="4">
        <f>(C9*C8*C4^2)/(2*C10)</f>
        <v>0.4333333333333334</v>
      </c>
    </row>
    <row r="6" spans="2:64" x14ac:dyDescent="0.25">
      <c r="B6" s="2" t="s">
        <v>3</v>
      </c>
      <c r="C6" s="2">
        <v>5000</v>
      </c>
      <c r="D6">
        <v>5000.2333333333345</v>
      </c>
    </row>
    <row r="8" spans="2:64" x14ac:dyDescent="0.25">
      <c r="B8" s="2" t="s">
        <v>4</v>
      </c>
      <c r="C8" s="2">
        <v>460</v>
      </c>
    </row>
    <row r="9" spans="2:64" x14ac:dyDescent="0.25">
      <c r="B9" s="2" t="s">
        <v>5</v>
      </c>
      <c r="C9" s="2">
        <v>7800</v>
      </c>
    </row>
    <row r="10" spans="2:64" x14ac:dyDescent="0.25">
      <c r="B10" s="2" t="s">
        <v>6</v>
      </c>
      <c r="C10" s="2">
        <v>46</v>
      </c>
    </row>
    <row r="11" spans="2:64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2:64" x14ac:dyDescent="0.25">
      <c r="B12" s="2" t="s">
        <v>10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64" x14ac:dyDescent="0.25">
      <c r="B13" s="2" t="s">
        <v>8</v>
      </c>
      <c r="C13" s="2">
        <v>100</v>
      </c>
      <c r="E13" t="s">
        <v>7</v>
      </c>
      <c r="F13" s="5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5" spans="2:64" x14ac:dyDescent="0.25">
      <c r="E15" t="s">
        <v>9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64" x14ac:dyDescent="0.25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BL18"/>
  <sheetViews>
    <sheetView tabSelected="1" topLeftCell="A2" zoomScale="85" zoomScaleNormal="85" workbookViewId="0">
      <selection activeCell="AF26" sqref="AF26"/>
    </sheetView>
  </sheetViews>
  <sheetFormatPr defaultRowHeight="15" x14ac:dyDescent="0.25"/>
  <cols>
    <col min="3" max="3" width="10.5703125" bestFit="1" customWidth="1"/>
    <col min="6" max="6" width="7.7109375" bestFit="1" customWidth="1"/>
    <col min="7" max="14" width="6.5703125" bestFit="1" customWidth="1"/>
    <col min="15" max="16" width="6.5703125" customWidth="1"/>
    <col min="17" max="36" width="6.5703125" bestFit="1" customWidth="1"/>
  </cols>
  <sheetData>
    <row r="3" spans="2:64" x14ac:dyDescent="0.25">
      <c r="B3" s="2" t="s">
        <v>0</v>
      </c>
      <c r="C3" s="2">
        <v>0.1</v>
      </c>
    </row>
    <row r="4" spans="2:64" x14ac:dyDescent="0.25">
      <c r="B4" s="2" t="s">
        <v>1</v>
      </c>
      <c r="C4" s="4">
        <f>C3/30</f>
        <v>3.3333333333333335E-3</v>
      </c>
    </row>
    <row r="5" spans="2:64" x14ac:dyDescent="0.25">
      <c r="B5" s="2" t="s">
        <v>2</v>
      </c>
      <c r="C5" s="4">
        <f>(C9*C8*C4^2)/(2*C10)</f>
        <v>0.4333333333333334</v>
      </c>
    </row>
    <row r="6" spans="2:64" x14ac:dyDescent="0.25">
      <c r="B6" s="2" t="s">
        <v>3</v>
      </c>
      <c r="C6" s="2">
        <v>5000</v>
      </c>
      <c r="D6">
        <v>5000.2333333333345</v>
      </c>
    </row>
    <row r="8" spans="2:64" x14ac:dyDescent="0.25">
      <c r="B8" s="2" t="s">
        <v>4</v>
      </c>
      <c r="C8" s="2">
        <v>460</v>
      </c>
    </row>
    <row r="9" spans="2:64" x14ac:dyDescent="0.25">
      <c r="B9" s="2" t="s">
        <v>5</v>
      </c>
      <c r="C9" s="2">
        <v>7800</v>
      </c>
    </row>
    <row r="10" spans="2:64" x14ac:dyDescent="0.25">
      <c r="B10" s="2" t="s">
        <v>6</v>
      </c>
      <c r="C10" s="2">
        <v>46</v>
      </c>
    </row>
    <row r="11" spans="2:64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2:64" x14ac:dyDescent="0.25">
      <c r="B12" s="2" t="s">
        <v>10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64" x14ac:dyDescent="0.25">
      <c r="B13" s="2" t="s">
        <v>8</v>
      </c>
      <c r="C13" s="2">
        <v>100</v>
      </c>
      <c r="E13" t="s">
        <v>7</v>
      </c>
      <c r="F13" s="5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4" spans="2:64" x14ac:dyDescent="0.25">
      <c r="B14" s="6" t="s">
        <v>14</v>
      </c>
      <c r="C14" s="6">
        <v>25</v>
      </c>
    </row>
    <row r="15" spans="2:64" x14ac:dyDescent="0.25">
      <c r="E15" t="s">
        <v>9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64" x14ac:dyDescent="0.25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>-$C$10*((AH13-AG13)/$C$4)</f>
        <v>91999.983704597675</v>
      </c>
      <c r="AI16">
        <f t="shared" si="2"/>
        <v>91999.983611556323</v>
      </c>
    </row>
    <row r="17" spans="5:35" x14ac:dyDescent="0.25">
      <c r="E17" t="s">
        <v>13</v>
      </c>
      <c r="F17">
        <f>F16/(-$C$10)</f>
        <v>-2000</v>
      </c>
      <c r="G17">
        <f>G16/(-$C$10)</f>
        <v>-2000.0000000000055</v>
      </c>
      <c r="H17">
        <f>H16/(-$C$10)</f>
        <v>-1999.9999809778672</v>
      </c>
      <c r="I17">
        <f>I16/(-$C$10)</f>
        <v>-1999.9999620096498</v>
      </c>
      <c r="J17">
        <f>J16/(-$C$10)</f>
        <v>-1999.9999431491401</v>
      </c>
      <c r="K17">
        <f>K16/(-$C$10)</f>
        <v>-1999.9999244497471</v>
      </c>
      <c r="L17">
        <f>L16/(-$C$10)</f>
        <v>-1999.9999059645402</v>
      </c>
      <c r="M17">
        <f>M16/(-$C$10)</f>
        <v>-1999.9998877458636</v>
      </c>
      <c r="N17">
        <f>N16/(-$C$10)</f>
        <v>-1999.9998698454049</v>
      </c>
      <c r="O17">
        <f>O16/(-$C$10)</f>
        <v>-1999.9998523138543</v>
      </c>
      <c r="P17">
        <f>P16/(-$C$10)</f>
        <v>-1999.9998352009725</v>
      </c>
      <c r="Q17">
        <f>Q16/(-$C$10)</f>
        <v>-1999.9998185551901</v>
      </c>
      <c r="R17">
        <f>R16/(-$C$10)</f>
        <v>-1999.999802423778</v>
      </c>
      <c r="S17">
        <f>S16/(-$C$10)</f>
        <v>-1999.9997868523706</v>
      </c>
      <c r="T17">
        <f>T16/(-$C$10)</f>
        <v>-1999.9997718852028</v>
      </c>
      <c r="U17">
        <f>U16/(-$C$10)</f>
        <v>-1999.9997575646005</v>
      </c>
      <c r="V17">
        <f>V16/(-$C$10)</f>
        <v>-1999.9997439312519</v>
      </c>
      <c r="W17">
        <f>W16/(-$C$10)</f>
        <v>-1999.9997310237231</v>
      </c>
      <c r="X17">
        <f>X16/(-$C$10)</f>
        <v>-1999.9997188786606</v>
      </c>
      <c r="Y17">
        <f>Y16/(-$C$10)</f>
        <v>-1999.999707530452</v>
      </c>
      <c r="Z17">
        <f>Z16/(-$C$10)</f>
        <v>-1999.9996970112929</v>
      </c>
      <c r="AA17">
        <f>AA16/(-$C$10)</f>
        <v>-1999.9996873509842</v>
      </c>
      <c r="AB17">
        <f>AB16/(-$C$10)</f>
        <v>-1999.9996785769126</v>
      </c>
      <c r="AC17">
        <f>AC16/(-$C$10)</f>
        <v>-1999.9996707139417</v>
      </c>
      <c r="AD17">
        <f>AD16/(-$C$10)</f>
        <v>-1999.9996637843763</v>
      </c>
      <c r="AE17">
        <f>AE16/(-$C$10)</f>
        <v>-1999.9996578078451</v>
      </c>
      <c r="AF17">
        <f>AF16/(-$C$10)</f>
        <v>-1999.9996528013112</v>
      </c>
      <c r="AG17">
        <f>AG16/(-$C$10)</f>
        <v>-1999.9996487789288</v>
      </c>
      <c r="AH17">
        <f>AH16/(-$C$10)</f>
        <v>-1999.9996457521233</v>
      </c>
      <c r="AI17">
        <f>AI16/(-$C$10)</f>
        <v>-1999.9996437294853</v>
      </c>
    </row>
    <row r="18" spans="5:35" x14ac:dyDescent="0.25">
      <c r="E18" t="s">
        <v>15</v>
      </c>
      <c r="F18">
        <f>F16/(F13-$C$14)</f>
        <v>334.54548175788602</v>
      </c>
      <c r="G18">
        <f t="shared" ref="G18:AI18" si="3">G16/(G13-$C$14)</f>
        <v>342.85717143854299</v>
      </c>
      <c r="H18">
        <f t="shared" si="3"/>
        <v>351.59238331501052</v>
      </c>
      <c r="I18">
        <f t="shared" si="3"/>
        <v>360.78433825189495</v>
      </c>
      <c r="J18">
        <f t="shared" si="3"/>
        <v>370.46982093123921</v>
      </c>
      <c r="K18">
        <f t="shared" si="3"/>
        <v>380.68967503424744</v>
      </c>
      <c r="L18">
        <f t="shared" si="3"/>
        <v>391.48937898582807</v>
      </c>
      <c r="M18">
        <f t="shared" si="3"/>
        <v>402.91972255940323</v>
      </c>
      <c r="N18">
        <f t="shared" si="3"/>
        <v>415.03760557590704</v>
      </c>
      <c r="O18">
        <f t="shared" si="3"/>
        <v>427.90698519784854</v>
      </c>
      <c r="P18">
        <f t="shared" si="3"/>
        <v>441.60000510391603</v>
      </c>
      <c r="Q18">
        <f t="shared" si="3"/>
        <v>456.19834863197411</v>
      </c>
      <c r="R18">
        <f t="shared" si="3"/>
        <v>471.79486948997476</v>
      </c>
      <c r="S18">
        <f t="shared" si="3"/>
        <v>488.49556881236356</v>
      </c>
      <c r="T18">
        <f t="shared" si="3"/>
        <v>506.42200753181243</v>
      </c>
      <c r="U18">
        <f t="shared" si="3"/>
        <v>525.71427014996459</v>
      </c>
      <c r="V18">
        <f t="shared" si="3"/>
        <v>546.53463277070023</v>
      </c>
      <c r="W18">
        <f t="shared" si="3"/>
        <v>569.07213868773329</v>
      </c>
      <c r="X18">
        <f t="shared" si="3"/>
        <v>593.5483547691199</v>
      </c>
      <c r="Y18">
        <f t="shared" si="3"/>
        <v>620.2246801249255</v>
      </c>
      <c r="Z18">
        <f t="shared" si="3"/>
        <v>649.41171839865353</v>
      </c>
      <c r="AA18">
        <f t="shared" si="3"/>
        <v>681.48142703355995</v>
      </c>
      <c r="AB18">
        <f t="shared" si="3"/>
        <v>716.88305332296727</v>
      </c>
      <c r="AC18">
        <f t="shared" si="3"/>
        <v>756.16430970941781</v>
      </c>
      <c r="AD18">
        <f t="shared" si="3"/>
        <v>799.99991440449503</v>
      </c>
      <c r="AE18">
        <f t="shared" si="3"/>
        <v>849.23067008238979</v>
      </c>
      <c r="AF18">
        <f t="shared" si="3"/>
        <v>904.91791779531798</v>
      </c>
      <c r="AG18">
        <f t="shared" si="3"/>
        <v>968.42091885019954</v>
      </c>
      <c r="AH18">
        <f t="shared" si="3"/>
        <v>1041.5092775302714</v>
      </c>
      <c r="AI18">
        <f t="shared" si="3"/>
        <v>1126.5304279982604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2021-09-28T21:15:10Z</dcterms:modified>
</cp:coreProperties>
</file>